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Kitchen"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3">
    <numFmt numFmtId="164" formatCode="m/d/yyyy"/>
    <numFmt numFmtId="165" formatCode="&quot;$&quot;#,##0.00"/>
    <numFmt numFmtId="166" formatCode="ddd m/d"/>
  </numFmts>
  <fonts count="7">
    <font>
      <name val="Calibri"/>
      <family val="2"/>
      <color theme="1"/>
      <sz val="11"/>
      <scheme val="minor"/>
    </font>
    <font>
      <b val="1"/>
      <color rgb="001B2A4A"/>
      <sz val="14"/>
    </font>
    <font>
      <b val="1"/>
    </font>
    <font>
      <i val="1"/>
      <color rgb="00666666"/>
    </font>
    <font>
      <b val="1"/>
      <color rgb="00FFFFFF"/>
    </font>
    <font>
      <color rgb="00000000"/>
      <sz val="11"/>
    </font>
    <font>
      <b val="1"/>
      <color rgb="00000000"/>
      <sz val="11"/>
    </font>
  </fonts>
  <fills count="4">
    <fill>
      <patternFill/>
    </fill>
    <fill>
      <patternFill patternType="gray125"/>
    </fill>
    <fill>
      <patternFill patternType="solid">
        <fgColor rgb="00FFF7E0"/>
      </patternFill>
    </fill>
    <fill>
      <patternFill patternType="solid">
        <fgColor rgb="001B2A4A"/>
      </patternFill>
    </fill>
  </fills>
  <borders count="1">
    <border>
      <left/>
      <right/>
      <top/>
      <bottom/>
      <diagonal/>
    </border>
  </borders>
  <cellStyleXfs count="1">
    <xf numFmtId="0" fontId="0" fillId="0" borderId="0"/>
  </cellStyleXfs>
  <cellXfs count="12">
    <xf numFmtId="0" fontId="0" fillId="0" borderId="0" pivotButton="0" quotePrefix="0" xfId="0"/>
    <xf numFmtId="165" fontId="0" fillId="0" borderId="0" pivotButton="0" quotePrefix="0" xfId="0"/>
    <xf numFmtId="164" fontId="0" fillId="0" borderId="0" pivotButton="0" quotePrefix="0" xfId="0"/>
    <xf numFmtId="0" fontId="1" fillId="0" borderId="0" pivotButton="0" quotePrefix="0" xfId="0"/>
    <xf numFmtId="0" fontId="2" fillId="0" borderId="0" pivotButton="0" quotePrefix="0" xfId="0"/>
    <xf numFmtId="164" fontId="0" fillId="2" borderId="0" pivotButton="0" quotePrefix="0" xfId="0"/>
    <xf numFmtId="0" fontId="3" fillId="0" borderId="0" pivotButton="0" quotePrefix="0" xfId="0"/>
    <xf numFmtId="0" fontId="4" fillId="3" borderId="0" pivotButton="0" quotePrefix="0" xfId="0"/>
    <xf numFmtId="166" fontId="0" fillId="0" borderId="0"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Orders" displayName="Orders" ref="A1:R2" headerRowCount="1">
  <autoFilter ref="A1:R2"/>
  <tableColumns count="18">
    <tableColumn id="1" name="Submitted"/>
    <tableColumn id="2" name="Week of"/>
    <tableColumn id="3" name="Order #"/>
    <tableColumn id="4" name="Parent"/>
    <tableColumn id="5" name="Email"/>
    <tableColumn id="6" name="Phone"/>
    <tableColumn id="7" name="Student"/>
    <tableColumn id="8" name="Grade"/>
    <tableColumn id="9" name="Preschool"/>
    <tableColumn id="10" name="Price per lunch"/>
    <tableColumn id="11" name="Mon"/>
    <tableColumn id="12" name="Tue"/>
    <tableColumn id="13" name="Wed"/>
    <tableColumn id="14" name="Thu"/>
    <tableColumn id="15" name="Fri"/>
    <tableColumn id="16" name="Lunches"/>
    <tableColumn id="17" name="Total"/>
    <tableColumn id="18"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9" customWidth="1" min="3" max="3"/>
    <col width="20" customWidth="1" min="4" max="4"/>
    <col width="26" customWidth="1" min="5" max="5"/>
    <col width="14" customWidth="1" min="6" max="6"/>
    <col width="22" customWidth="1" min="7" max="7"/>
    <col width="16" customWidth="1" min="8" max="8"/>
    <col width="10" customWidth="1" min="9" max="9"/>
    <col width="9" customWidth="1" min="10" max="10"/>
    <col width="6" customWidth="1" min="11" max="11"/>
    <col width="6" customWidth="1" min="12" max="12"/>
    <col width="6" customWidth="1" min="13" max="13"/>
    <col width="6" customWidth="1" min="14" max="14"/>
    <col width="6" customWidth="1" min="15" max="15"/>
    <col width="9" customWidth="1" min="16" max="16"/>
    <col width="10" customWidth="1" min="17" max="17"/>
    <col width="30" customWidth="1" min="18" max="18"/>
  </cols>
  <sheetData>
    <row r="1">
      <c r="A1" t="inlineStr">
        <is>
          <t>Submitted</t>
        </is>
      </c>
      <c r="B1" t="inlineStr">
        <is>
          <t>Week of</t>
        </is>
      </c>
      <c r="C1" t="inlineStr">
        <is>
          <t>Order #</t>
        </is>
      </c>
      <c r="D1" t="inlineStr">
        <is>
          <t>Parent</t>
        </is>
      </c>
      <c r="E1" t="inlineStr">
        <is>
          <t>Email</t>
        </is>
      </c>
      <c r="F1" t="inlineStr">
        <is>
          <t>Phone</t>
        </is>
      </c>
      <c r="G1" t="inlineStr">
        <is>
          <t>Student</t>
        </is>
      </c>
      <c r="H1" t="inlineStr">
        <is>
          <t>Grade</t>
        </is>
      </c>
      <c r="I1" t="inlineStr">
        <is>
          <t>Preschool</t>
        </is>
      </c>
      <c r="J1" s="1" t="inlineStr">
        <is>
          <t>Price per lunch</t>
        </is>
      </c>
      <c r="K1" t="inlineStr">
        <is>
          <t>Mon</t>
        </is>
      </c>
      <c r="L1" t="inlineStr">
        <is>
          <t>Tue</t>
        </is>
      </c>
      <c r="M1" t="inlineStr">
        <is>
          <t>Wed</t>
        </is>
      </c>
      <c r="N1" t="inlineStr">
        <is>
          <t>Thu</t>
        </is>
      </c>
      <c r="O1" t="inlineStr">
        <is>
          <t>Fri</t>
        </is>
      </c>
      <c r="P1" t="inlineStr">
        <is>
          <t>Lunches</t>
        </is>
      </c>
      <c r="Q1" s="1" t="inlineStr">
        <is>
          <t>Total</t>
        </is>
      </c>
      <c r="R1" t="inlineStr">
        <is>
          <t>Notes</t>
        </is>
      </c>
    </row>
    <row r="2">
      <c r="B2" s="2" t="n"/>
      <c r="J2" s="1" t="n"/>
      <c r="P2">
        <f>COUNTIF(Orders[[#This Row],[Mon]:[Fri]],"X")</f>
        <v/>
      </c>
      <c r="Q2" s="1">
        <f>Orders[[#This Row],[Lunches]]*Orders[[#This Row],[Price per lunch]]</f>
        <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12" customWidth="1" min="2" max="2"/>
    <col width="10" customWidth="1" min="3" max="3"/>
    <col width="11" customWidth="1" min="4" max="4"/>
    <col width="10" customWidth="1" min="5" max="5"/>
  </cols>
  <sheetData>
    <row r="1">
      <c r="A1" s="3" t="inlineStr">
        <is>
          <t>Hot lunch counts</t>
        </is>
      </c>
    </row>
    <row r="3">
      <c r="A3" s="4" t="inlineStr">
        <is>
          <t>Week of (Monday)</t>
        </is>
      </c>
      <c r="B3" s="5">
        <f>MAX(Orders[Week of])</f>
        <v/>
      </c>
      <c r="C3" s="6" t="inlineStr">
        <is>
          <t>Shows the latest week. Type another Monday's date here to see that week.</t>
        </is>
      </c>
    </row>
    <row r="5">
      <c r="A5" s="7" t="inlineStr">
        <is>
          <t>Day</t>
        </is>
      </c>
      <c r="B5" s="7" t="inlineStr">
        <is>
          <t>Date</t>
        </is>
      </c>
      <c r="C5" s="7" t="inlineStr">
        <is>
          <t>K5–12th</t>
        </is>
      </c>
      <c r="D5" s="7" t="inlineStr">
        <is>
          <t>Preschool</t>
        </is>
      </c>
      <c r="E5" s="7" t="inlineStr">
        <is>
          <t>Total</t>
        </is>
      </c>
    </row>
    <row r="6">
      <c r="A6" t="inlineStr">
        <is>
          <t>Monday</t>
        </is>
      </c>
      <c r="B6" s="8">
        <f>$B$3+0</f>
        <v/>
      </c>
      <c r="C6">
        <f>COUNTIFS(Orders[Week of],$B$3,Orders[Mon],"X",Orders[Preschool],"No")</f>
        <v/>
      </c>
      <c r="D6">
        <f>COUNTIFS(Orders[Week of],$B$3,Orders[Mon],"X",Orders[Preschool],"Yes")</f>
        <v/>
      </c>
      <c r="E6">
        <f>C6+D6</f>
        <v/>
      </c>
    </row>
    <row r="7">
      <c r="A7" t="inlineStr">
        <is>
          <t>Tuesday</t>
        </is>
      </c>
      <c r="B7" s="8">
        <f>$B$3+1</f>
        <v/>
      </c>
      <c r="C7">
        <f>COUNTIFS(Orders[Week of],$B$3,Orders[Tue],"X",Orders[Preschool],"No")</f>
        <v/>
      </c>
      <c r="D7">
        <f>COUNTIFS(Orders[Week of],$B$3,Orders[Tue],"X",Orders[Preschool],"Yes")</f>
        <v/>
      </c>
      <c r="E7">
        <f>C7+D7</f>
        <v/>
      </c>
    </row>
    <row r="8">
      <c r="A8" t="inlineStr">
        <is>
          <t>Wednesday</t>
        </is>
      </c>
      <c r="B8" s="8">
        <f>$B$3+2</f>
        <v/>
      </c>
      <c r="C8">
        <f>COUNTIFS(Orders[Week of],$B$3,Orders[Wed],"X",Orders[Preschool],"No")</f>
        <v/>
      </c>
      <c r="D8">
        <f>COUNTIFS(Orders[Week of],$B$3,Orders[Wed],"X",Orders[Preschool],"Yes")</f>
        <v/>
      </c>
      <c r="E8">
        <f>C8+D8</f>
        <v/>
      </c>
    </row>
    <row r="9">
      <c r="A9" t="inlineStr">
        <is>
          <t>Thursday</t>
        </is>
      </c>
      <c r="B9" s="8">
        <f>$B$3+3</f>
        <v/>
      </c>
      <c r="C9">
        <f>COUNTIFS(Orders[Week of],$B$3,Orders[Thu],"X",Orders[Preschool],"No")</f>
        <v/>
      </c>
      <c r="D9">
        <f>COUNTIFS(Orders[Week of],$B$3,Orders[Thu],"X",Orders[Preschool],"Yes")</f>
        <v/>
      </c>
      <c r="E9">
        <f>C9+D9</f>
        <v/>
      </c>
    </row>
    <row r="10">
      <c r="A10" t="inlineStr">
        <is>
          <t>Friday</t>
        </is>
      </c>
      <c r="B10" s="8">
        <f>$B$3+4</f>
        <v/>
      </c>
      <c r="C10">
        <f>COUNTIFS(Orders[Week of],$B$3,Orders[Fri],"X",Orders[Preschool],"No")</f>
        <v/>
      </c>
      <c r="D10">
        <f>COUNTIFS(Orders[Week of],$B$3,Orders[Fri],"X",Orders[Preschool],"Yes")</f>
        <v/>
      </c>
      <c r="E10">
        <f>C10+D10</f>
        <v/>
      </c>
    </row>
    <row r="11">
      <c r="A11" s="4" t="inlineStr">
        <is>
          <t>Week total</t>
        </is>
      </c>
      <c r="E11" s="4">
        <f>SUM(E6:E10)</f>
        <v/>
      </c>
    </row>
    <row r="12">
      <c r="A12" t="inlineStr">
        <is>
          <t>Week charges</t>
        </is>
      </c>
      <c r="E12" s="1">
        <f>SUMIFS(Orders[Total],Orders[Week of],$B$3)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9" t="inlineStr">
        <is>
          <t>Hot lunch orders</t>
        </is>
      </c>
    </row>
    <row r="2">
      <c r="A2" s="10" t="inlineStr">
        <is>
          <t>Orders placed on the school website land on the Orders tab by themselves: one row per student, with an X under each day ordered. Lunches and Total add themselves up.</t>
        </is>
      </c>
    </row>
    <row r="3">
      <c r="A3" s="10" t="inlineStr"/>
    </row>
    <row r="4">
      <c r="A4" s="10" t="inlineStr">
        <is>
          <t>Kitchen counts: open the Kitchen tab. It shows the latest week; type another Monday's date in the yellow box to see a different week.</t>
        </is>
      </c>
    </row>
    <row r="5">
      <c r="A5" s="10" t="inlineStr">
        <is>
          <t>Billing: on the Orders tab, use the filter on 'Week of' to show one week. Each row's Total is what to charge that student in Gradelink.</t>
        </is>
      </c>
    </row>
    <row r="6">
      <c r="A6" s="10" t="inlineStr">
        <is>
          <t>Changes by phone: remove an X (or type X) under a day and the totals update. To cancel a whole order, delete the student's row. Use Notes for anything worth remembering.</t>
        </is>
      </c>
    </row>
    <row r="7">
      <c r="A7" s="10" t="inlineStr"/>
    </row>
    <row r="8">
      <c r="A8" s="11" t="inlineStr">
        <is>
          <t>Please don't rename this file, the Orders tab, the Orders table or its column headings, and don't move the file out of the OneDrive's main folder. The website needs them to add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2026-10-16T13:57:23Z</dcterms:created>
  <dcterms:modified xmlns:dcterms="http://purl.org/dc/terms/" xmlns:xsi="http://www.w3.org/2001/XMLSchema-instance" xsi:type="dcterms:W3CDTF">2026-10-16T13:57:23Z</dcterms:modified>
</cp:coreProperties>
</file>